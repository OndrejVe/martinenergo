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74be0046490336/Direct_Energy/"/>
    </mc:Choice>
  </mc:AlternateContent>
  <xr:revisionPtr revIDLastSave="5" documentId="8_{FED3BFD5-92C4-E24E-9C7D-0C42A0AEB7ED}" xr6:coauthVersionLast="47" xr6:coauthVersionMax="47" xr10:uidLastSave="{5F8CF5E4-DB9A-1143-924D-28FBEAE9F1CE}"/>
  <bookViews>
    <workbookView xWindow="0" yWindow="680" windowWidth="29400" windowHeight="17340" xr2:uid="{8340C763-284B-B64A-B3D9-4D2BB8423A2B}"/>
  </bookViews>
  <sheets>
    <sheet name="Sheet1" sheetId="1" r:id="rId1"/>
    <sheet name="vstup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1" l="1"/>
  <c r="J38" i="1"/>
  <c r="I38" i="1"/>
  <c r="H38" i="1"/>
  <c r="G38" i="1"/>
  <c r="M14" i="1"/>
  <c r="G14" i="1"/>
  <c r="H14" i="1"/>
  <c r="I14" i="1"/>
  <c r="J14" i="1"/>
  <c r="B2" i="1"/>
  <c r="P1" i="1" s="1"/>
  <c r="P25" i="1" s="1"/>
  <c r="P2" i="1" l="1"/>
  <c r="P31" i="1"/>
  <c r="P30" i="1"/>
  <c r="P33" i="1"/>
  <c r="P29" i="1"/>
  <c r="P34" i="1"/>
  <c r="P32" i="1"/>
  <c r="P28" i="1"/>
  <c r="P12" i="1"/>
  <c r="P3" i="1"/>
  <c r="P13" i="1"/>
  <c r="P8" i="1"/>
  <c r="P4" i="1"/>
  <c r="P10" i="1"/>
  <c r="P5" i="1"/>
  <c r="P7" i="1"/>
  <c r="P11" i="1"/>
  <c r="P6" i="1"/>
  <c r="P9" i="1"/>
  <c r="R8" i="1" l="1"/>
  <c r="R32" i="1"/>
  <c r="R13" i="1"/>
  <c r="R37" i="1"/>
  <c r="R4" i="1"/>
  <c r="R28" i="1"/>
  <c r="R3" i="1"/>
  <c r="R27" i="1"/>
  <c r="R2" i="1"/>
  <c r="R14" i="1" s="1"/>
  <c r="R12" i="1"/>
  <c r="R36" i="1"/>
  <c r="R5" i="1"/>
  <c r="R29" i="1"/>
  <c r="R9" i="1"/>
  <c r="R33" i="1"/>
  <c r="R11" i="1"/>
  <c r="R35" i="1"/>
  <c r="R10" i="1"/>
  <c r="R34" i="1"/>
  <c r="R6" i="1"/>
  <c r="R30" i="1"/>
  <c r="R7" i="1"/>
  <c r="R31" i="1"/>
  <c r="P14" i="1"/>
  <c r="R26" i="1" l="1"/>
  <c r="R38" i="1" s="1"/>
  <c r="P38" i="1"/>
</calcChain>
</file>

<file path=xl/sharedStrings.xml><?xml version="1.0" encoding="utf-8"?>
<sst xmlns="http://schemas.openxmlformats.org/spreadsheetml/2006/main" count="52" uniqueCount="30">
  <si>
    <t>Zaujemce ma distribucni sazbu:</t>
  </si>
  <si>
    <t>Zaujemce patri do TDD:</t>
  </si>
  <si>
    <t>Distribucni sazba</t>
  </si>
  <si>
    <t>Trida TDD</t>
  </si>
  <si>
    <t>D01d</t>
  </si>
  <si>
    <t>TDD4</t>
  </si>
  <si>
    <t>D02d</t>
  </si>
  <si>
    <t>D25d</t>
  </si>
  <si>
    <t>TDD5</t>
  </si>
  <si>
    <t>D26d</t>
  </si>
  <si>
    <t>D35d</t>
  </si>
  <si>
    <t>TDD6</t>
  </si>
  <si>
    <t>D45d</t>
  </si>
  <si>
    <t>TDD7</t>
  </si>
  <si>
    <t>D55d</t>
  </si>
  <si>
    <t>D56d</t>
  </si>
  <si>
    <t>D57d</t>
  </si>
  <si>
    <t>D61d</t>
  </si>
  <si>
    <t>casova jednotka</t>
  </si>
  <si>
    <t>koef. TDD</t>
  </si>
  <si>
    <t>Cena OTE</t>
  </si>
  <si>
    <t>prubeh spotreby</t>
  </si>
  <si>
    <t>vyber sazby a TDD</t>
  </si>
  <si>
    <t>Pumrna vazena cena za 1MWh</t>
  </si>
  <si>
    <t>vysledek</t>
  </si>
  <si>
    <t>prumerna cena za cele bdobi (cely rok)</t>
  </si>
  <si>
    <t>prumerna cena za cast bdobi (casove jednotky od 3 do 9)</t>
  </si>
  <si>
    <r>
      <t xml:space="preserve">(koef. v dane casove jdneotce/suma koef. za </t>
    </r>
    <r>
      <rPr>
        <b/>
        <sz val="12"/>
        <color rgb="FFFF0000"/>
        <rFont val="Aptos Narrow (Body)"/>
      </rPr>
      <t>sledovane</t>
    </r>
    <r>
      <rPr>
        <sz val="12"/>
        <color theme="1"/>
        <rFont val="Aptos Narrow"/>
        <family val="2"/>
        <scheme val="minor"/>
      </rPr>
      <t xml:space="preserve"> obdobi)</t>
    </r>
  </si>
  <si>
    <r>
      <t xml:space="preserve">(koef. v dane casove jdneotce/suma koef. za </t>
    </r>
    <r>
      <rPr>
        <b/>
        <sz val="12"/>
        <color rgb="FFFF0000"/>
        <rFont val="Aptos Narrow (Body)"/>
      </rPr>
      <t>cele</t>
    </r>
    <r>
      <rPr>
        <sz val="12"/>
        <color theme="1"/>
        <rFont val="Aptos Narrow"/>
        <family val="2"/>
        <scheme val="minor"/>
      </rPr>
      <t xml:space="preserve"> obdobi)</t>
    </r>
  </si>
  <si>
    <t>D27d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</si>
</sst>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\ [$Kč-405]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color rgb="FFFF0000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textRotation="45"/>
    </xf>
    <xf numFmtId="168" fontId="0" fillId="0" borderId="0" xfId="0" applyNumberFormat="1"/>
    <xf numFmtId="0" fontId="0" fillId="2" borderId="1" xfId="1" applyFont="1"/>
    <xf numFmtId="168" fontId="2" fillId="0" borderId="0" xfId="0" applyNumberFormat="1" applyFont="1"/>
    <xf numFmtId="0" fontId="3" fillId="0" borderId="0" xfId="0" applyFont="1" applyAlignment="1">
      <alignment horizontal="center" vertical="center"/>
    </xf>
    <xf numFmtId="0" fontId="0" fillId="3" borderId="0" xfId="0" applyFill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7991-BD29-ED4C-BC8D-627E7E734E0D}">
  <dimension ref="A1:S38"/>
  <sheetViews>
    <sheetView tabSelected="1" workbookViewId="0">
      <selection activeCell="J19" sqref="J19"/>
    </sheetView>
  </sheetViews>
  <sheetFormatPr baseColWidth="10" defaultRowHeight="16" x14ac:dyDescent="0.2"/>
  <cols>
    <col min="1" max="1" width="27" bestFit="1" customWidth="1"/>
    <col min="3" max="3" width="15.5" bestFit="1" customWidth="1"/>
    <col min="6" max="6" width="14.5" bestFit="1" customWidth="1"/>
    <col min="7" max="12" width="5.6640625" bestFit="1" customWidth="1"/>
    <col min="13" max="13" width="11.6640625" bestFit="1" customWidth="1"/>
    <col min="14" max="14" width="5.6640625" bestFit="1" customWidth="1"/>
    <col min="15" max="15" width="12.1640625" bestFit="1" customWidth="1"/>
    <col min="16" max="16" width="7.83203125" bestFit="1" customWidth="1"/>
    <col min="17" max="17" width="52.5" bestFit="1" customWidth="1"/>
  </cols>
  <sheetData>
    <row r="1" spans="1:19" x14ac:dyDescent="0.2">
      <c r="A1" t="s">
        <v>0</v>
      </c>
      <c r="B1" t="s">
        <v>29</v>
      </c>
      <c r="C1" s="4" t="s">
        <v>22</v>
      </c>
      <c r="E1" s="2" t="s">
        <v>19</v>
      </c>
      <c r="F1" s="1" t="s">
        <v>18</v>
      </c>
      <c r="G1" s="1" t="s">
        <v>5</v>
      </c>
      <c r="H1" s="1" t="s">
        <v>8</v>
      </c>
      <c r="I1" s="1" t="s">
        <v>11</v>
      </c>
      <c r="J1" s="1" t="s">
        <v>13</v>
      </c>
      <c r="K1" s="1"/>
      <c r="L1" s="1"/>
      <c r="M1" s="1" t="s">
        <v>20</v>
      </c>
      <c r="O1" s="2" t="s">
        <v>21</v>
      </c>
      <c r="P1" s="1" t="str">
        <f>B2</f>
        <v>TDD5</v>
      </c>
      <c r="R1" t="s">
        <v>23</v>
      </c>
    </row>
    <row r="2" spans="1:19" x14ac:dyDescent="0.2">
      <c r="A2" t="s">
        <v>1</v>
      </c>
      <c r="B2" t="str">
        <f>VLOOKUP(B1,vstupy!$A$2:$B$12,2,0)</f>
        <v>TDD5</v>
      </c>
      <c r="E2" s="2"/>
      <c r="F2">
        <v>1</v>
      </c>
      <c r="G2">
        <v>3.2000000000000001E-2</v>
      </c>
      <c r="H2">
        <v>4.2000000000000003E-2</v>
      </c>
      <c r="I2">
        <v>5.0999999999999997E-2</v>
      </c>
      <c r="J2">
        <v>3.5000000000000003E-2</v>
      </c>
      <c r="M2" s="3">
        <v>1929</v>
      </c>
      <c r="O2" s="2"/>
      <c r="P2">
        <f>HLOOKUP($P$1,$G$1:$J$14,ROW(),0)/HLOOKUP($P$1,$G$1:$J$14,14,0)</f>
        <v>5.8333333333333327E-2</v>
      </c>
      <c r="Q2" s="4" t="s">
        <v>28</v>
      </c>
      <c r="R2" s="3">
        <f>P2*M2</f>
        <v>112.52499999999999</v>
      </c>
    </row>
    <row r="3" spans="1:19" x14ac:dyDescent="0.2">
      <c r="E3" s="2"/>
      <c r="F3">
        <v>2</v>
      </c>
      <c r="G3">
        <v>2.5000000000000001E-2</v>
      </c>
      <c r="H3">
        <v>8.6999999999999994E-2</v>
      </c>
      <c r="I3">
        <v>7.8E-2</v>
      </c>
      <c r="J3">
        <v>5.0999999999999997E-2</v>
      </c>
      <c r="M3" s="3">
        <v>2159</v>
      </c>
      <c r="O3" s="2"/>
      <c r="P3">
        <f t="shared" ref="P3:P13" si="0">HLOOKUP($P$1,$G$1:$J$14,ROW(),0)/HLOOKUP($P$1,$G$1:$J$14,14,0)</f>
        <v>0.12083333333333331</v>
      </c>
      <c r="R3" s="3">
        <f t="shared" ref="R3:R13" si="1">P3*M3</f>
        <v>260.87916666666661</v>
      </c>
    </row>
    <row r="4" spans="1:19" x14ac:dyDescent="0.2">
      <c r="E4" s="2"/>
      <c r="F4">
        <v>3</v>
      </c>
      <c r="G4">
        <v>6.7000000000000004E-2</v>
      </c>
      <c r="H4">
        <v>4.8000000000000001E-2</v>
      </c>
      <c r="I4">
        <v>6.4000000000000001E-2</v>
      </c>
      <c r="J4">
        <v>7.0999999999999994E-2</v>
      </c>
      <c r="M4" s="3">
        <v>1794</v>
      </c>
      <c r="O4" s="2"/>
      <c r="P4">
        <f t="shared" si="0"/>
        <v>6.6666666666666666E-2</v>
      </c>
      <c r="R4" s="3">
        <f t="shared" si="1"/>
        <v>119.6</v>
      </c>
    </row>
    <row r="5" spans="1:19" ht="16" customHeight="1" x14ac:dyDescent="0.2">
      <c r="A5" s="6" t="s">
        <v>25</v>
      </c>
      <c r="B5" s="6"/>
      <c r="C5" s="6"/>
      <c r="E5" s="2"/>
      <c r="F5">
        <v>4</v>
      </c>
      <c r="G5">
        <v>8.4000000000000005E-2</v>
      </c>
      <c r="H5">
        <v>6.5000000000000002E-2</v>
      </c>
      <c r="I5">
        <v>2.5999999999999999E-2</v>
      </c>
      <c r="J5">
        <v>5.2999999999999999E-2</v>
      </c>
      <c r="M5" s="3">
        <v>2678</v>
      </c>
      <c r="O5" s="2"/>
      <c r="P5">
        <f t="shared" si="0"/>
        <v>9.0277777777777776E-2</v>
      </c>
      <c r="R5" s="3">
        <f t="shared" si="1"/>
        <v>241.76388888888889</v>
      </c>
    </row>
    <row r="6" spans="1:19" x14ac:dyDescent="0.2">
      <c r="A6" s="6"/>
      <c r="B6" s="6"/>
      <c r="C6" s="6"/>
      <c r="E6" s="2"/>
      <c r="F6">
        <v>5</v>
      </c>
      <c r="G6">
        <v>0.09</v>
      </c>
      <c r="H6">
        <v>7.9000000000000001E-2</v>
      </c>
      <c r="I6">
        <v>0.09</v>
      </c>
      <c r="J6">
        <v>7.0000000000000007E-2</v>
      </c>
      <c r="M6" s="3">
        <v>3074</v>
      </c>
      <c r="O6" s="2"/>
      <c r="P6">
        <f t="shared" si="0"/>
        <v>0.10972222222222221</v>
      </c>
      <c r="R6" s="3">
        <f t="shared" si="1"/>
        <v>337.28611111111104</v>
      </c>
    </row>
    <row r="7" spans="1:19" x14ac:dyDescent="0.2">
      <c r="A7" s="6"/>
      <c r="B7" s="6"/>
      <c r="C7" s="6"/>
      <c r="E7" s="2"/>
      <c r="F7">
        <v>6</v>
      </c>
      <c r="G7">
        <v>2.5000000000000001E-2</v>
      </c>
      <c r="H7">
        <v>0.08</v>
      </c>
      <c r="I7">
        <v>8.4000000000000005E-2</v>
      </c>
      <c r="J7">
        <v>7.6999999999999999E-2</v>
      </c>
      <c r="M7" s="3">
        <v>2117</v>
      </c>
      <c r="O7" s="2"/>
      <c r="P7">
        <f t="shared" si="0"/>
        <v>0.1111111111111111</v>
      </c>
      <c r="R7" s="3">
        <f t="shared" si="1"/>
        <v>235.2222222222222</v>
      </c>
    </row>
    <row r="8" spans="1:19" x14ac:dyDescent="0.2">
      <c r="A8" s="6"/>
      <c r="B8" s="6"/>
      <c r="C8" s="6"/>
      <c r="E8" s="2"/>
      <c r="F8">
        <v>7</v>
      </c>
      <c r="G8">
        <v>2.5999999999999999E-2</v>
      </c>
      <c r="H8">
        <v>2.1999999999999999E-2</v>
      </c>
      <c r="I8">
        <v>2.5000000000000001E-2</v>
      </c>
      <c r="J8">
        <v>3.4000000000000002E-2</v>
      </c>
      <c r="M8" s="3">
        <v>3456</v>
      </c>
      <c r="O8" s="2"/>
      <c r="P8">
        <f t="shared" si="0"/>
        <v>3.0555555555555551E-2</v>
      </c>
      <c r="R8" s="3">
        <f t="shared" si="1"/>
        <v>105.59999999999998</v>
      </c>
    </row>
    <row r="9" spans="1:19" x14ac:dyDescent="0.2">
      <c r="A9" s="6"/>
      <c r="B9" s="6"/>
      <c r="C9" s="6"/>
      <c r="E9" s="2"/>
      <c r="F9">
        <v>8</v>
      </c>
      <c r="G9">
        <v>4.7E-2</v>
      </c>
      <c r="H9">
        <v>3.1E-2</v>
      </c>
      <c r="I9">
        <v>5.1999999999999998E-2</v>
      </c>
      <c r="J9">
        <v>6.5000000000000002E-2</v>
      </c>
      <c r="M9" s="3">
        <v>2461</v>
      </c>
      <c r="O9" s="2"/>
      <c r="P9">
        <f t="shared" si="0"/>
        <v>4.3055555555555548E-2</v>
      </c>
      <c r="R9" s="3">
        <f t="shared" si="1"/>
        <v>105.95972222222221</v>
      </c>
    </row>
    <row r="10" spans="1:19" x14ac:dyDescent="0.2">
      <c r="A10" s="6"/>
      <c r="B10" s="6"/>
      <c r="C10" s="6"/>
      <c r="E10" s="2"/>
      <c r="F10">
        <v>9</v>
      </c>
      <c r="G10">
        <v>3.1E-2</v>
      </c>
      <c r="H10">
        <v>5.8000000000000003E-2</v>
      </c>
      <c r="I10">
        <v>5.8999999999999997E-2</v>
      </c>
      <c r="J10">
        <v>3.2000000000000001E-2</v>
      </c>
      <c r="M10" s="3">
        <v>3766</v>
      </c>
      <c r="O10" s="2"/>
      <c r="P10">
        <f t="shared" si="0"/>
        <v>8.0555555555555547E-2</v>
      </c>
      <c r="R10" s="3">
        <f t="shared" si="1"/>
        <v>303.37222222222221</v>
      </c>
    </row>
    <row r="11" spans="1:19" x14ac:dyDescent="0.2">
      <c r="A11" s="6"/>
      <c r="B11" s="6"/>
      <c r="C11" s="6"/>
      <c r="E11" s="2"/>
      <c r="F11">
        <v>10</v>
      </c>
      <c r="G11">
        <v>6.4000000000000001E-2</v>
      </c>
      <c r="H11">
        <v>8.5000000000000006E-2</v>
      </c>
      <c r="I11">
        <v>4.5999999999999999E-2</v>
      </c>
      <c r="J11">
        <v>4.2999999999999997E-2</v>
      </c>
      <c r="M11" s="3">
        <v>3702</v>
      </c>
      <c r="O11" s="2"/>
      <c r="P11">
        <f t="shared" si="0"/>
        <v>0.11805555555555555</v>
      </c>
      <c r="R11" s="3">
        <f t="shared" si="1"/>
        <v>437.04166666666663</v>
      </c>
    </row>
    <row r="12" spans="1:19" x14ac:dyDescent="0.2">
      <c r="A12" s="6"/>
      <c r="B12" s="6"/>
      <c r="C12" s="6"/>
      <c r="E12" s="2"/>
      <c r="F12">
        <v>11</v>
      </c>
      <c r="G12">
        <v>6.4000000000000001E-2</v>
      </c>
      <c r="H12">
        <v>8.7999999999999995E-2</v>
      </c>
      <c r="I12">
        <v>8.5000000000000006E-2</v>
      </c>
      <c r="J12">
        <v>6.2E-2</v>
      </c>
      <c r="M12" s="3">
        <v>2209</v>
      </c>
      <c r="O12" s="2"/>
      <c r="P12">
        <f t="shared" si="0"/>
        <v>0.1222222222222222</v>
      </c>
      <c r="R12" s="3">
        <f t="shared" si="1"/>
        <v>269.98888888888882</v>
      </c>
    </row>
    <row r="13" spans="1:19" x14ac:dyDescent="0.2">
      <c r="A13" s="6"/>
      <c r="B13" s="6"/>
      <c r="C13" s="6"/>
      <c r="E13" s="2"/>
      <c r="F13">
        <v>12</v>
      </c>
      <c r="G13">
        <v>7.4999999999999997E-2</v>
      </c>
      <c r="H13">
        <v>3.5000000000000003E-2</v>
      </c>
      <c r="I13">
        <v>0.06</v>
      </c>
      <c r="J13">
        <v>5.0999999999999997E-2</v>
      </c>
      <c r="M13" s="3">
        <v>3110</v>
      </c>
      <c r="O13" s="2"/>
      <c r="P13">
        <f t="shared" si="0"/>
        <v>4.8611111111111112E-2</v>
      </c>
      <c r="R13" s="3">
        <f t="shared" si="1"/>
        <v>151.18055555555557</v>
      </c>
    </row>
    <row r="14" spans="1:19" x14ac:dyDescent="0.2">
      <c r="G14" s="1">
        <f t="shared" ref="G14:J14" si="2">SUM(G2:G13)</f>
        <v>0.63</v>
      </c>
      <c r="H14" s="1">
        <f t="shared" si="2"/>
        <v>0.72000000000000008</v>
      </c>
      <c r="I14" s="1">
        <f t="shared" si="2"/>
        <v>0.72</v>
      </c>
      <c r="J14" s="1">
        <f t="shared" si="2"/>
        <v>0.64400000000000002</v>
      </c>
      <c r="M14" s="5">
        <f>AVERAGE(M2:M13)</f>
        <v>2704.5833333333335</v>
      </c>
      <c r="P14" s="1">
        <f t="shared" ref="P14" si="3">SUM(P2:P13)</f>
        <v>1</v>
      </c>
      <c r="R14" s="5">
        <f>SUM(R2:R13)</f>
        <v>2680.4194444444438</v>
      </c>
      <c r="S14" s="4" t="s">
        <v>24</v>
      </c>
    </row>
    <row r="25" spans="1:18" x14ac:dyDescent="0.2">
      <c r="E25" s="2" t="s">
        <v>19</v>
      </c>
      <c r="F25" s="1" t="s">
        <v>18</v>
      </c>
      <c r="G25" s="1" t="s">
        <v>5</v>
      </c>
      <c r="H25" s="1" t="s">
        <v>8</v>
      </c>
      <c r="I25" s="1" t="s">
        <v>11</v>
      </c>
      <c r="J25" s="1" t="s">
        <v>13</v>
      </c>
      <c r="K25" s="1"/>
      <c r="L25" s="1"/>
      <c r="M25" s="1" t="s">
        <v>20</v>
      </c>
      <c r="O25" s="2" t="s">
        <v>21</v>
      </c>
      <c r="P25" s="1" t="str">
        <f>P1</f>
        <v>TDD5</v>
      </c>
      <c r="R25" t="s">
        <v>23</v>
      </c>
    </row>
    <row r="26" spans="1:18" x14ac:dyDescent="0.2">
      <c r="E26" s="2"/>
      <c r="F26">
        <v>1</v>
      </c>
      <c r="G26" s="7"/>
      <c r="H26" s="7"/>
      <c r="I26" s="7"/>
      <c r="J26" s="7"/>
      <c r="M26" s="3">
        <v>1929</v>
      </c>
      <c r="O26" s="2"/>
      <c r="R26" s="3">
        <f>P26*M26</f>
        <v>0</v>
      </c>
    </row>
    <row r="27" spans="1:18" x14ac:dyDescent="0.2">
      <c r="E27" s="2"/>
      <c r="F27">
        <v>2</v>
      </c>
      <c r="G27" s="7"/>
      <c r="H27" s="7"/>
      <c r="I27" s="7"/>
      <c r="J27" s="7"/>
      <c r="M27" s="3">
        <v>2159</v>
      </c>
      <c r="O27" s="2"/>
      <c r="R27" s="3">
        <f t="shared" ref="R27:R37" si="4">P27*M27</f>
        <v>0</v>
      </c>
    </row>
    <row r="28" spans="1:18" x14ac:dyDescent="0.2">
      <c r="E28" s="2"/>
      <c r="F28">
        <v>3</v>
      </c>
      <c r="G28">
        <v>6.7000000000000004E-2</v>
      </c>
      <c r="H28">
        <v>4.8000000000000001E-2</v>
      </c>
      <c r="I28">
        <v>6.4000000000000001E-2</v>
      </c>
      <c r="J28">
        <v>7.0999999999999994E-2</v>
      </c>
      <c r="M28" s="3">
        <v>1794</v>
      </c>
      <c r="O28" s="2"/>
      <c r="P28">
        <f>HLOOKUP($P$1,$G$1:$J$14,ROW()-24,0)/HLOOKUP($P$25,$G$25:$J$38,14,0)</f>
        <v>0.12532637075718014</v>
      </c>
      <c r="Q28" s="4" t="s">
        <v>27</v>
      </c>
      <c r="R28" s="3">
        <f t="shared" si="4"/>
        <v>224.83550913838118</v>
      </c>
    </row>
    <row r="29" spans="1:18" x14ac:dyDescent="0.2">
      <c r="A29" s="6" t="s">
        <v>26</v>
      </c>
      <c r="B29" s="6"/>
      <c r="C29" s="6"/>
      <c r="E29" s="2"/>
      <c r="F29">
        <v>4</v>
      </c>
      <c r="G29">
        <v>8.4000000000000005E-2</v>
      </c>
      <c r="H29">
        <v>6.5000000000000002E-2</v>
      </c>
      <c r="I29">
        <v>2.5999999999999999E-2</v>
      </c>
      <c r="J29">
        <v>5.2999999999999999E-2</v>
      </c>
      <c r="M29" s="3">
        <v>2678</v>
      </c>
      <c r="O29" s="2"/>
      <c r="P29">
        <f t="shared" ref="P29:P34" si="5">HLOOKUP($P$1,$G$1:$J$14,ROW()-24,0)/HLOOKUP($P$25,$G$25:$J$38,14,0)</f>
        <v>0.16971279373368145</v>
      </c>
      <c r="R29" s="3">
        <f t="shared" si="4"/>
        <v>454.49086161879893</v>
      </c>
    </row>
    <row r="30" spans="1:18" x14ac:dyDescent="0.2">
      <c r="A30" s="6"/>
      <c r="B30" s="6"/>
      <c r="C30" s="6"/>
      <c r="E30" s="2"/>
      <c r="F30">
        <v>5</v>
      </c>
      <c r="G30">
        <v>0.09</v>
      </c>
      <c r="H30">
        <v>7.9000000000000001E-2</v>
      </c>
      <c r="I30">
        <v>0.09</v>
      </c>
      <c r="J30">
        <v>7.0000000000000007E-2</v>
      </c>
      <c r="M30" s="3">
        <v>3074</v>
      </c>
      <c r="O30" s="2"/>
      <c r="P30">
        <f t="shared" si="5"/>
        <v>0.20626631853785898</v>
      </c>
      <c r="R30" s="3">
        <f t="shared" si="4"/>
        <v>634.06266318537848</v>
      </c>
    </row>
    <row r="31" spans="1:18" x14ac:dyDescent="0.2">
      <c r="A31" s="6"/>
      <c r="B31" s="6"/>
      <c r="C31" s="6"/>
      <c r="E31" s="2"/>
      <c r="F31">
        <v>6</v>
      </c>
      <c r="G31">
        <v>2.5000000000000001E-2</v>
      </c>
      <c r="H31">
        <v>0.08</v>
      </c>
      <c r="I31">
        <v>8.4000000000000005E-2</v>
      </c>
      <c r="J31">
        <v>7.6999999999999999E-2</v>
      </c>
      <c r="M31" s="3">
        <v>2117</v>
      </c>
      <c r="O31" s="2"/>
      <c r="P31">
        <f t="shared" si="5"/>
        <v>0.20887728459530022</v>
      </c>
      <c r="R31" s="3">
        <f t="shared" si="4"/>
        <v>442.1932114882506</v>
      </c>
    </row>
    <row r="32" spans="1:18" x14ac:dyDescent="0.2">
      <c r="A32" s="6"/>
      <c r="B32" s="6"/>
      <c r="C32" s="6"/>
      <c r="E32" s="2"/>
      <c r="F32">
        <v>7</v>
      </c>
      <c r="G32">
        <v>2.5999999999999999E-2</v>
      </c>
      <c r="H32">
        <v>2.1999999999999999E-2</v>
      </c>
      <c r="I32">
        <v>2.5000000000000001E-2</v>
      </c>
      <c r="J32">
        <v>3.4000000000000002E-2</v>
      </c>
      <c r="M32" s="3">
        <v>3456</v>
      </c>
      <c r="O32" s="2"/>
      <c r="P32">
        <f t="shared" si="5"/>
        <v>5.744125326370756E-2</v>
      </c>
      <c r="R32" s="3">
        <f t="shared" si="4"/>
        <v>198.51697127937334</v>
      </c>
    </row>
    <row r="33" spans="1:19" x14ac:dyDescent="0.2">
      <c r="A33" s="6"/>
      <c r="B33" s="6"/>
      <c r="C33" s="6"/>
      <c r="E33" s="2"/>
      <c r="F33">
        <v>8</v>
      </c>
      <c r="G33">
        <v>4.7E-2</v>
      </c>
      <c r="H33">
        <v>3.1E-2</v>
      </c>
      <c r="I33">
        <v>5.1999999999999998E-2</v>
      </c>
      <c r="J33">
        <v>6.5000000000000002E-2</v>
      </c>
      <c r="M33" s="3">
        <v>2461</v>
      </c>
      <c r="O33" s="2"/>
      <c r="P33">
        <f t="shared" si="5"/>
        <v>8.0939947780678839E-2</v>
      </c>
      <c r="R33" s="3">
        <f t="shared" si="4"/>
        <v>199.19321148825063</v>
      </c>
    </row>
    <row r="34" spans="1:19" x14ac:dyDescent="0.2">
      <c r="A34" s="6"/>
      <c r="B34" s="6"/>
      <c r="C34" s="6"/>
      <c r="E34" s="2"/>
      <c r="F34">
        <v>9</v>
      </c>
      <c r="G34">
        <v>3.1E-2</v>
      </c>
      <c r="H34">
        <v>5.8000000000000003E-2</v>
      </c>
      <c r="I34">
        <v>5.8999999999999997E-2</v>
      </c>
      <c r="J34">
        <v>3.2000000000000001E-2</v>
      </c>
      <c r="M34" s="3">
        <v>3766</v>
      </c>
      <c r="O34" s="2"/>
      <c r="P34">
        <f t="shared" si="5"/>
        <v>0.15143603133159267</v>
      </c>
      <c r="R34" s="3">
        <f t="shared" si="4"/>
        <v>570.30809399477801</v>
      </c>
    </row>
    <row r="35" spans="1:19" x14ac:dyDescent="0.2">
      <c r="A35" s="6"/>
      <c r="B35" s="6"/>
      <c r="C35" s="6"/>
      <c r="E35" s="2"/>
      <c r="F35">
        <v>10</v>
      </c>
      <c r="G35" s="7"/>
      <c r="H35" s="7"/>
      <c r="I35" s="7"/>
      <c r="J35" s="7"/>
      <c r="M35" s="3">
        <v>3702</v>
      </c>
      <c r="O35" s="2"/>
      <c r="R35" s="3">
        <f t="shared" si="4"/>
        <v>0</v>
      </c>
    </row>
    <row r="36" spans="1:19" x14ac:dyDescent="0.2">
      <c r="A36" s="6"/>
      <c r="B36" s="6"/>
      <c r="C36" s="6"/>
      <c r="E36" s="2"/>
      <c r="F36">
        <v>11</v>
      </c>
      <c r="G36" s="7"/>
      <c r="H36" s="7"/>
      <c r="I36" s="7"/>
      <c r="J36" s="7"/>
      <c r="M36" s="3">
        <v>2209</v>
      </c>
      <c r="O36" s="2"/>
      <c r="R36" s="3">
        <f t="shared" si="4"/>
        <v>0</v>
      </c>
    </row>
    <row r="37" spans="1:19" x14ac:dyDescent="0.2">
      <c r="A37" s="6"/>
      <c r="B37" s="6"/>
      <c r="C37" s="6"/>
      <c r="E37" s="2"/>
      <c r="F37">
        <v>12</v>
      </c>
      <c r="G37" s="7"/>
      <c r="H37" s="7"/>
      <c r="I37" s="7"/>
      <c r="J37" s="7"/>
      <c r="M37" s="3">
        <v>3110</v>
      </c>
      <c r="O37" s="2"/>
      <c r="R37" s="3">
        <f t="shared" si="4"/>
        <v>0</v>
      </c>
    </row>
    <row r="38" spans="1:19" x14ac:dyDescent="0.2">
      <c r="G38" s="1">
        <f t="shared" ref="G38" si="6">SUM(G26:G37)</f>
        <v>0.37</v>
      </c>
      <c r="H38" s="1">
        <f t="shared" ref="H38" si="7">SUM(H26:H37)</f>
        <v>0.38300000000000006</v>
      </c>
      <c r="I38" s="1">
        <f t="shared" ref="I38" si="8">SUM(I26:I37)</f>
        <v>0.4</v>
      </c>
      <c r="J38" s="1">
        <f t="shared" ref="J38" si="9">SUM(J26:J37)</f>
        <v>0.40200000000000002</v>
      </c>
      <c r="M38" s="5">
        <f>AVERAGE(M26:M37)</f>
        <v>2704.5833333333335</v>
      </c>
      <c r="P38" s="1">
        <f>SUM(P26:P37)</f>
        <v>0.99999999999999978</v>
      </c>
      <c r="R38" s="5">
        <f>SUM(R26:R37)</f>
        <v>2723.6005221932114</v>
      </c>
      <c r="S38" s="4" t="s">
        <v>24</v>
      </c>
    </row>
  </sheetData>
  <mergeCells count="6">
    <mergeCell ref="E1:E13"/>
    <mergeCell ref="O1:O13"/>
    <mergeCell ref="A5:C13"/>
    <mergeCell ref="E25:E37"/>
    <mergeCell ref="O25:O37"/>
    <mergeCell ref="A29:C3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41102F-5628-A349-888B-16B64F9A9BD3}">
          <x14:formula1>
            <xm:f>vstupy!$A$2:$A$12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DC9E-E2EA-1445-8C00-FBEC90282EB0}">
  <dimension ref="A1:B12"/>
  <sheetViews>
    <sheetView workbookViewId="0">
      <selection activeCell="B6" sqref="B6"/>
    </sheetView>
  </sheetViews>
  <sheetFormatPr baseColWidth="10" defaultRowHeight="16" x14ac:dyDescent="0.2"/>
  <sheetData>
    <row r="1" spans="1:2" x14ac:dyDescent="0.2">
      <c r="A1" s="1" t="s">
        <v>2</v>
      </c>
      <c r="B1" s="1" t="s">
        <v>3</v>
      </c>
    </row>
    <row r="2" spans="1:2" x14ac:dyDescent="0.2">
      <c r="A2" t="s">
        <v>4</v>
      </c>
      <c r="B2" t="s">
        <v>5</v>
      </c>
    </row>
    <row r="3" spans="1:2" x14ac:dyDescent="0.2">
      <c r="A3" t="s">
        <v>6</v>
      </c>
      <c r="B3" t="s">
        <v>5</v>
      </c>
    </row>
    <row r="4" spans="1:2" x14ac:dyDescent="0.2">
      <c r="A4" t="s">
        <v>7</v>
      </c>
      <c r="B4" t="s">
        <v>8</v>
      </c>
    </row>
    <row r="5" spans="1:2" x14ac:dyDescent="0.2">
      <c r="A5" t="s">
        <v>9</v>
      </c>
      <c r="B5" t="s">
        <v>8</v>
      </c>
    </row>
    <row r="6" spans="1:2" x14ac:dyDescent="0.2">
      <c r="A6" t="s">
        <v>29</v>
      </c>
      <c r="B6" t="s">
        <v>8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13</v>
      </c>
    </row>
    <row r="10" spans="1:2" x14ac:dyDescent="0.2">
      <c r="A10" t="s">
        <v>15</v>
      </c>
      <c r="B10" t="s">
        <v>13</v>
      </c>
    </row>
    <row r="11" spans="1:2" x14ac:dyDescent="0.2">
      <c r="A11" t="s">
        <v>16</v>
      </c>
      <c r="B11" t="s">
        <v>13</v>
      </c>
    </row>
    <row r="12" spans="1:2" x14ac:dyDescent="0.2">
      <c r="A12" t="s">
        <v>17</v>
      </c>
      <c r="B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vstupy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Dovhanych</dc:creator>
  <cp:lastModifiedBy>Viktor Dovhanych</cp:lastModifiedBy>
  <dcterms:created xsi:type="dcterms:W3CDTF">2025-10-30T18:25:55Z</dcterms:created>
  <dcterms:modified xsi:type="dcterms:W3CDTF">2025-10-30T19:30:22Z</dcterms:modified>
</cp:coreProperties>
</file>